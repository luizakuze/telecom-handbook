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  <sheet state="visible" name="Página2" sheetId="2" r:id="rId5"/>
  </sheets>
  <definedNames/>
  <calcPr/>
</workbook>
</file>

<file path=xl/sharedStrings.xml><?xml version="1.0" encoding="utf-8"?>
<sst xmlns="http://schemas.openxmlformats.org/spreadsheetml/2006/main" count="140" uniqueCount="82">
  <si>
    <t>Período</t>
  </si>
  <si>
    <t>Essências compradas (100 ml)</t>
  </si>
  <si>
    <t>Total (ml)</t>
  </si>
  <si>
    <t>Custo (R$)</t>
  </si>
  <si>
    <t>Produto</t>
  </si>
  <si>
    <t>Loja</t>
  </si>
  <si>
    <t>Preço unitário (R$)</t>
  </si>
  <si>
    <t>Meses 1–3</t>
  </si>
  <si>
    <t>Bergamota; Capim Limão</t>
  </si>
  <si>
    <t>Cera de Coco T02 (1 kg)</t>
  </si>
  <si>
    <t>Tudo para Velas</t>
  </si>
  <si>
    <t>Meses 4–6</t>
  </si>
  <si>
    <t>Bergamota; Capim Limão; Lavanda</t>
  </si>
  <si>
    <t>Essência Bergamota e Âmbar Lipossolúvel (100 ml)</t>
  </si>
  <si>
    <t>Meses 7–12</t>
  </si>
  <si>
    <t>Bergamota; Capim Limão; Lavanda; Lírios e Rosas</t>
  </si>
  <si>
    <t>Essência Capim Limão Lipossolúvel (100 ml)</t>
  </si>
  <si>
    <t>Essência Lavanda Sublime Universal Premium (100 ml)</t>
  </si>
  <si>
    <t>Velas/mês</t>
  </si>
  <si>
    <t>Consumo de cera (kg)</t>
  </si>
  <si>
    <t>Essência Lírios e Rosas Universal Premium (100 ml)</t>
  </si>
  <si>
    <t>Kit 12 potes La Pianezza 210 ml (dourado)</t>
  </si>
  <si>
    <t>Item</t>
  </si>
  <si>
    <t>Quantidade</t>
  </si>
  <si>
    <t>Kit 6 potes La Pianezza 210 ml (dourado)</t>
  </si>
  <si>
    <t>Caneca com bico 12 esmaltada 1000ml</t>
  </si>
  <si>
    <t>Pavio B2025 (50 unidades)</t>
  </si>
  <si>
    <t>Fogão elétrico portátil Elgin (1 boca, 110V)</t>
  </si>
  <si>
    <t>Caneca com bico 12 esmaltada 1000 ml</t>
  </si>
  <si>
    <t>Amazon</t>
  </si>
  <si>
    <t>Total</t>
  </si>
  <si>
    <t>Kits de potes</t>
  </si>
  <si>
    <t>1 kit 12 potes</t>
  </si>
  <si>
    <t>Impressão de etiquetas em papel adesivo (24un)</t>
  </si>
  <si>
    <t>Copiar Kobrasol</t>
  </si>
  <si>
    <t>1 kit 12 potes + 1 kit 6 potes</t>
  </si>
  <si>
    <t>2 kits 12 potes</t>
  </si>
  <si>
    <t>Mês</t>
  </si>
  <si>
    <t>Velas Produzidas</t>
  </si>
  <si>
    <t>Comprar Pavios?</t>
  </si>
  <si>
    <t>Qt. Pavios Início</t>
  </si>
  <si>
    <t>Qt. Pavios Final</t>
  </si>
  <si>
    <t>Sim (+50)</t>
  </si>
  <si>
    <t>Não</t>
  </si>
  <si>
    <t>14 -&gt; 64</t>
  </si>
  <si>
    <t>Fluxo de Caixa (FC)</t>
  </si>
  <si>
    <t>Valor Presente (VP)</t>
  </si>
  <si>
    <t>Saldo</t>
  </si>
  <si>
    <t>10-&gt; 60</t>
  </si>
  <si>
    <t>Unidade</t>
  </si>
  <si>
    <t>TMA</t>
  </si>
  <si>
    <t>Coluna 1</t>
  </si>
  <si>
    <t>Ano</t>
  </si>
  <si>
    <t>12 -&gt; 62</t>
  </si>
  <si>
    <t>Adotando a SELIC</t>
  </si>
  <si>
    <t>(baixo risco)</t>
  </si>
  <si>
    <t>Cera usada (kg)</t>
  </si>
  <si>
    <t>Tempo total (h)</t>
  </si>
  <si>
    <t>Consumo (kWh)</t>
  </si>
  <si>
    <t>Custo Energia (R$)</t>
  </si>
  <si>
    <t>1 kg de cera = 20 minutos de derretimento</t>
  </si>
  <si>
    <t>VPL</t>
  </si>
  <si>
    <t>Tarifa energia: R$ 0,69568 por kWh</t>
  </si>
  <si>
    <t>TIR (mês)</t>
  </si>
  <si>
    <t>Considerando potência média de 1000 W (1 kW) de fogão elétrico.</t>
  </si>
  <si>
    <t>Payback</t>
  </si>
  <si>
    <t>1 mês</t>
  </si>
  <si>
    <t>Velas (Etiquetas)</t>
  </si>
  <si>
    <t>Comprar Etiquetas?</t>
  </si>
  <si>
    <t>Qtd. Etiquetas Início</t>
  </si>
  <si>
    <t>Qtd. Etiquetas Final</t>
  </si>
  <si>
    <t>Sim (+1)</t>
  </si>
  <si>
    <t>Essências</t>
  </si>
  <si>
    <t>Cera</t>
  </si>
  <si>
    <t>Kit de potes</t>
  </si>
  <si>
    <t>Impressão de Etiquetas</t>
  </si>
  <si>
    <t>Energia Elétrica</t>
  </si>
  <si>
    <t>Pavio</t>
  </si>
  <si>
    <t>Cada impressão em A4 adesivo suporta 24 rótulos de velas</t>
  </si>
  <si>
    <t>Preço Vela</t>
  </si>
  <si>
    <t>Qt. Velas Produzidas</t>
  </si>
  <si>
    <t>Faturamento Mês (R$)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</si>
</sst>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1" numFmtId="2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2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0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1" numFmtId="2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9" xfId="0" applyAlignment="1" applyFont="1" applyNumberFormat="1">
      <alignment horizontal="center"/>
    </xf>
    <xf borderId="0" fillId="0" fontId="2" numFmtId="0" xfId="0" applyAlignment="1" applyFont="1">
      <alignment horizontal="center" readingOrder="0" vertical="bottom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5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ágina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Página1-style 3">
      <tableStyleElement dxfId="3" type="firstRowStripe"/>
      <tableStyleElement dxfId="2" type="secondRowStripe"/>
    </tableStyle>
    <tableStyle count="4" pivot="0" name="Página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ágina1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ágina1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ágina1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ágina1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ágina1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ágina1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ágina1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ágina1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ágina1-style 1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ágina1-style 1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ágina1-style 15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4" displayName="Essências" name="Essências" id="1">
  <tableColumns count="4">
    <tableColumn name="Período" id="1"/>
    <tableColumn name="Essências compradas (100 ml)" id="2"/>
    <tableColumn name="Total (ml)" id="3"/>
    <tableColumn name="Custo (R$)" id="4"/>
  </tableColumns>
  <tableStyleInfo name="Página1-style" showColumnStripes="0" showFirstColumn="1" showLastColumn="1" showRowStripes="1"/>
</table>
</file>

<file path=xl/tables/table2.xml><?xml version="1.0" encoding="utf-8"?>
<table xmlns="http://schemas.openxmlformats.org/spreadsheetml/2006/main" ref="J1:L12" displayName="Preço_Lojas" name="Preço_Lojas" id="2">
  <tableColumns count="3">
    <tableColumn name="Produto" id="1"/>
    <tableColumn name="Loja" id="2"/>
    <tableColumn name="Preço unitário (R$)" id="3"/>
  </tableColumns>
  <tableStyleInfo name="Página1-style 2" showColumnStripes="0" showFirstColumn="1" showLastColumn="1" showRowStripes="1"/>
</table>
</file>

<file path=xl/tables/table3.xml><?xml version="1.0" encoding="utf-8"?>
<table xmlns="http://schemas.openxmlformats.org/spreadsheetml/2006/main" headerRowCount="0" ref="N3:P5" displayName="Table_1" name="Table_1" id="3">
  <tableColumns count="3">
    <tableColumn name="Column1" id="1"/>
    <tableColumn name="Column2" id="2"/>
    <tableColumn name="Column3" id="3"/>
  </tableColumns>
  <tableStyleInfo name="Página1-style 3" showColumnStripes="0" showFirstColumn="1" showLastColumn="1" showRowStripes="1"/>
</table>
</file>

<file path=xl/tables/table4.xml><?xml version="1.0" encoding="utf-8"?>
<table xmlns="http://schemas.openxmlformats.org/spreadsheetml/2006/main" ref="A6:D9" displayName="Cera" name="Cera" id="4">
  <tableColumns count="4">
    <tableColumn name="Período" id="1"/>
    <tableColumn name="Velas/mês" id="2"/>
    <tableColumn name="Consumo de cera (kg)" id="3"/>
    <tableColumn name="Custo (R$)" id="4"/>
  </tableColumns>
  <tableStyleInfo name="Página1-style 4" showColumnStripes="0" showFirstColumn="1" showLastColumn="1" showRowStripes="1"/>
</table>
</file>

<file path=xl/tables/table5.xml><?xml version="1.0" encoding="utf-8"?>
<table xmlns="http://schemas.openxmlformats.org/spreadsheetml/2006/main" ref="N7:P10" displayName="Investimento_Inicial_" name="Investimento_Inicial_" id="5">
  <tableColumns count="3">
    <tableColumn name="Item" id="1"/>
    <tableColumn name="Quantidade" id="2"/>
    <tableColumn name="Custo (R$)" id="3"/>
  </tableColumns>
  <tableStyleInfo name="Página1-style 5" showColumnStripes="0" showFirstColumn="1" showLastColumn="1" showRowStripes="1"/>
</table>
</file>

<file path=xl/tables/table6.xml><?xml version="1.0" encoding="utf-8"?>
<table xmlns="http://schemas.openxmlformats.org/spreadsheetml/2006/main" ref="A11:D14" displayName="Kit_de_Potes" name="Kit_de_Potes" id="6">
  <tableColumns count="4">
    <tableColumn name="Período" id="1"/>
    <tableColumn name="Velas/mês" id="2"/>
    <tableColumn name="Kits de potes" id="3"/>
    <tableColumn name="Custo (R$)" id="4"/>
  </tableColumns>
  <tableStyleInfo name="Página1-style 6" showColumnStripes="0" showFirstColumn="1" showLastColumn="1" showRowStripes="1"/>
</table>
</file>

<file path=xl/tables/table7.xml><?xml version="1.0" encoding="utf-8"?>
<table xmlns="http://schemas.openxmlformats.org/spreadsheetml/2006/main" ref="A16:E28" displayName="Pavios" name="Pavios" id="7">
  <tableColumns count="5">
    <tableColumn name="Mês" id="1"/>
    <tableColumn name="Velas Produzidas" id="2"/>
    <tableColumn name="Comprar Pavios?" id="3"/>
    <tableColumn name="Qt. Pavios Início" id="4"/>
    <tableColumn name="Qt. Pavios Final" id="5"/>
  </tableColumns>
  <tableStyleInfo name="Página1-style 7" showColumnStripes="0" showFirstColumn="1" showLastColumn="1" showRowStripes="1"/>
</table>
</file>

<file path=xl/tables/table8.xml><?xml version="1.0" encoding="utf-8"?>
<table xmlns="http://schemas.openxmlformats.org/spreadsheetml/2006/main" ref="G20:J33" displayName="Viabilidade_Otimista" name="Viabilidade_Otimista" id="8">
  <tableColumns count="4">
    <tableColumn name="Mês" id="1"/>
    <tableColumn name="Fluxo de Caixa (FC)" id="2"/>
    <tableColumn name="Valor Presente (VP)" id="3"/>
    <tableColumn name="Saldo" id="4"/>
  </tableColumns>
  <tableStyleInfo name="Página1-style 8" showColumnStripes="0" showFirstColumn="1" showLastColumn="1" showRowStripes="1"/>
</table>
</file>

<file path=xl/tables/table9.xml><?xml version="1.0" encoding="utf-8"?>
<table xmlns="http://schemas.openxmlformats.org/spreadsheetml/2006/main" ref="L23:N25" displayName="Tabela_1" name="Tabela_1" id="9">
  <tableColumns count="3">
    <tableColumn name="Unidade" id="1"/>
    <tableColumn name="TMA" id="2"/>
    <tableColumn name="Coluna 1" id="3"/>
  </tableColumns>
  <tableStyleInfo name="Página1-style 9" showColumnStripes="0" showFirstColumn="1" showLastColumn="1" showRowStripes="1"/>
</table>
</file>

<file path=xl/tables/table10.xml><?xml version="1.0" encoding="utf-8"?>
<table xmlns="http://schemas.openxmlformats.org/spreadsheetml/2006/main" ref="A30:E33" displayName="Energia_Elétrica" name="Energia_Elétrica" id="10">
  <tableColumns count="5">
    <tableColumn name="Período" id="1"/>
    <tableColumn name="Cera usada (kg)" id="2"/>
    <tableColumn name="Tempo total (h)" id="3"/>
    <tableColumn name="Consumo (kWh)" id="4"/>
    <tableColumn name="Custo Energia (R$)" id="5"/>
  </tableColumns>
  <tableStyleInfo name="Página1-style 10" showColumnStripes="0" showFirstColumn="1" showLastColumn="1" showRowStripes="1"/>
</table>
</file>

<file path=xl/tables/table11.xml><?xml version="1.0" encoding="utf-8"?>
<table xmlns="http://schemas.openxmlformats.org/spreadsheetml/2006/main" ref="A39:E51" displayName="Impressão_de_Etiquetas_em_Papel_Adesivo" name="Impressão_de_Etiquetas_em_Papel_Adesivo" id="11">
  <tableColumns count="5">
    <tableColumn name="Mês" id="1"/>
    <tableColumn name="Velas (Etiquetas)" id="2"/>
    <tableColumn name="Comprar Etiquetas?" id="3"/>
    <tableColumn name="Qtd. Etiquetas Início" id="4"/>
    <tableColumn name="Qtd. Etiquetas Final" id="5"/>
  </tableColumns>
  <tableStyleInfo name="Página1-style 11" showColumnStripes="0" showFirstColumn="1" showLastColumn="1" showRowStripes="1"/>
</table>
</file>

<file path=xl/tables/table12.xml><?xml version="1.0" encoding="utf-8"?>
<table xmlns="http://schemas.openxmlformats.org/spreadsheetml/2006/main" ref="H40:O53" displayName="Despesas" name="Despesas" id="12">
  <tableColumns count="8">
    <tableColumn name="Mês" id="1"/>
    <tableColumn name="Essências" id="2"/>
    <tableColumn name="Cera" id="3"/>
    <tableColumn name="Kit de potes" id="4"/>
    <tableColumn name="Impressão de Etiquetas" id="5"/>
    <tableColumn name="Energia Elétrica" id="6"/>
    <tableColumn name="Pavio" id="7"/>
    <tableColumn name="Total" id="8"/>
  </tableColumns>
  <tableStyleInfo name="Página1-style 12" showColumnStripes="0" showFirstColumn="1" showLastColumn="1" showRowStripes="1"/>
</table>
</file>

<file path=xl/tables/table13.xml><?xml version="1.0" encoding="utf-8"?>
<table xmlns="http://schemas.openxmlformats.org/spreadsheetml/2006/main" ref="F57:F58" displayName="Tabela_3" name="Tabela_3" id="13">
  <tableColumns count="1">
    <tableColumn name="Preço Vela" id="1"/>
  </tableColumns>
  <tableStyleInfo name="Página1-style 13" showColumnStripes="0" showFirstColumn="1" showLastColumn="1" showRowStripes="1"/>
</table>
</file>

<file path=xl/tables/table14.xml><?xml version="1.0" encoding="utf-8"?>
<table xmlns="http://schemas.openxmlformats.org/spreadsheetml/2006/main" ref="H57:J70" displayName="Faturamento_Otimista" name="Faturamento_Otimista" id="14">
  <tableColumns count="3">
    <tableColumn name="Mês" id="1"/>
    <tableColumn name="Qt. Velas Produzidas" id="2"/>
    <tableColumn name="Faturamento Mês (R$)" id="3"/>
  </tableColumns>
  <tableStyleInfo name="Página1-style 14" showColumnStripes="0" showFirstColumn="1" showLastColumn="1" showRowStripes="1"/>
</table>
</file>

<file path=xl/tables/table15.xml><?xml version="1.0" encoding="utf-8"?>
<table xmlns="http://schemas.openxmlformats.org/spreadsheetml/2006/main" ref="L57:N70" displayName="Faturamento_Pessimista" name="Faturamento_Pessimista" id="15">
  <tableColumns count="3">
    <tableColumn name="Mês" id="1"/>
    <tableColumn name="Qt. Velas Produzidas" id="2"/>
    <tableColumn name="Faturamento Mês (R$)" id="3"/>
  </tableColumns>
  <tableStyleInfo name="Página1-style 1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4.xml"/><Relationship Id="rId31" Type="http://schemas.openxmlformats.org/officeDocument/2006/relationships/table" Target="../tables/table15.xml"/><Relationship Id="rId30" Type="http://schemas.openxmlformats.org/officeDocument/2006/relationships/table" Target="../tables/table14.xml"/><Relationship Id="rId22" Type="http://schemas.openxmlformats.org/officeDocument/2006/relationships/table" Target="../tables/table6.xml"/><Relationship Id="rId21" Type="http://schemas.openxmlformats.org/officeDocument/2006/relationships/table" Target="../tables/table5.xml"/><Relationship Id="rId24" Type="http://schemas.openxmlformats.org/officeDocument/2006/relationships/table" Target="../tables/table8.xml"/><Relationship Id="rId23" Type="http://schemas.openxmlformats.org/officeDocument/2006/relationships/table" Target="../tables/table7.xml"/><Relationship Id="rId1" Type="http://schemas.openxmlformats.org/officeDocument/2006/relationships/drawing" Target="../drawings/drawing1.xml"/><Relationship Id="rId26" Type="http://schemas.openxmlformats.org/officeDocument/2006/relationships/table" Target="../tables/table10.xml"/><Relationship Id="rId25" Type="http://schemas.openxmlformats.org/officeDocument/2006/relationships/table" Target="../tables/table9.xml"/><Relationship Id="rId17" Type="http://schemas.openxmlformats.org/officeDocument/2006/relationships/table" Target="../tables/table1.xml"/><Relationship Id="rId28" Type="http://schemas.openxmlformats.org/officeDocument/2006/relationships/table" Target="../tables/table12.xml"/><Relationship Id="rId27" Type="http://schemas.openxmlformats.org/officeDocument/2006/relationships/table" Target="../tables/table11.xml"/><Relationship Id="rId19" Type="http://schemas.openxmlformats.org/officeDocument/2006/relationships/table" Target="../tables/table3.xml"/><Relationship Id="rId18" Type="http://schemas.openxmlformats.org/officeDocument/2006/relationships/table" Target="../tables/table2.xml"/><Relationship Id="rId29" Type="http://schemas.openxmlformats.org/officeDocument/2006/relationships/table" Target="../tables/table1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26.29"/>
    <col customWidth="1" min="3" max="3" width="29.14"/>
    <col customWidth="1" min="4" max="4" width="22.29"/>
    <col customWidth="1" min="5" max="5" width="19.57"/>
    <col customWidth="1" min="6" max="6" width="25.43"/>
    <col customWidth="1" min="7" max="7" width="16.14"/>
    <col customWidth="1" min="8" max="8" width="19.43"/>
    <col customWidth="1" min="9" max="9" width="18.0"/>
    <col customWidth="1" min="10" max="10" width="36.57"/>
    <col customWidth="1" min="11" max="11" width="22.57"/>
    <col customWidth="1" min="12" max="12" width="20.86"/>
    <col customWidth="1" min="14" max="14" width="42.14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3"/>
      <c r="H1" s="3"/>
      <c r="I1" s="2"/>
      <c r="J1" s="1" t="s">
        <v>4</v>
      </c>
      <c r="K1" s="1" t="s">
        <v>5</v>
      </c>
      <c r="L1" s="1" t="s">
        <v>6</v>
      </c>
      <c r="M1" s="2"/>
      <c r="N1" s="4"/>
      <c r="O1" s="5"/>
      <c r="P1" s="5"/>
      <c r="Q1" s="5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1" t="s">
        <v>7</v>
      </c>
      <c r="B2" s="1" t="s">
        <v>8</v>
      </c>
      <c r="C2" s="1">
        <v>200.0</v>
      </c>
      <c r="D2" s="1">
        <f>L3+L4</f>
        <v>66.52</v>
      </c>
      <c r="E2" s="2"/>
      <c r="F2" s="2"/>
      <c r="G2" s="3"/>
      <c r="H2" s="3"/>
      <c r="I2" s="2"/>
      <c r="J2" s="1" t="s">
        <v>9</v>
      </c>
      <c r="K2" s="1" t="s">
        <v>10</v>
      </c>
      <c r="L2" s="1">
        <v>44.19</v>
      </c>
      <c r="M2" s="2"/>
      <c r="N2" s="4"/>
      <c r="O2" s="4"/>
      <c r="P2" s="4"/>
      <c r="Q2" s="5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1" t="s">
        <v>11</v>
      </c>
      <c r="B3" s="1" t="s">
        <v>12</v>
      </c>
      <c r="C3" s="1">
        <v>300.0</v>
      </c>
      <c r="D3" s="1">
        <f>L3+L4+L5</f>
        <v>92.94</v>
      </c>
      <c r="E3" s="2"/>
      <c r="F3" s="3"/>
      <c r="G3" s="3"/>
      <c r="H3" s="3"/>
      <c r="I3" s="2"/>
      <c r="J3" s="1" t="s">
        <v>13</v>
      </c>
      <c r="K3" s="1" t="s">
        <v>10</v>
      </c>
      <c r="L3" s="1">
        <v>29.35</v>
      </c>
      <c r="M3" s="2"/>
      <c r="N3" s="4"/>
      <c r="O3" s="6"/>
      <c r="P3" s="6"/>
      <c r="Q3" s="5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1" t="s">
        <v>14</v>
      </c>
      <c r="B4" s="1" t="s">
        <v>15</v>
      </c>
      <c r="C4" s="1">
        <v>400.0</v>
      </c>
      <c r="D4" s="1">
        <f>L3+L4+L5+L6</f>
        <v>119.36</v>
      </c>
      <c r="E4" s="2"/>
      <c r="F4" s="3"/>
      <c r="G4" s="3"/>
      <c r="H4" s="3"/>
      <c r="I4" s="2"/>
      <c r="J4" s="1" t="s">
        <v>16</v>
      </c>
      <c r="K4" s="1" t="s">
        <v>10</v>
      </c>
      <c r="L4" s="1">
        <v>37.17</v>
      </c>
      <c r="M4" s="2"/>
      <c r="N4" s="4"/>
      <c r="O4" s="6"/>
      <c r="P4" s="6"/>
      <c r="Q4" s="5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2"/>
      <c r="B5" s="2"/>
      <c r="C5" s="2"/>
      <c r="D5" s="2"/>
      <c r="E5" s="2"/>
      <c r="F5" s="3"/>
      <c r="G5" s="3"/>
      <c r="H5" s="3"/>
      <c r="I5" s="2"/>
      <c r="J5" s="1" t="s">
        <v>17</v>
      </c>
      <c r="K5" s="1" t="s">
        <v>10</v>
      </c>
      <c r="L5" s="1">
        <v>26.42</v>
      </c>
      <c r="M5" s="2"/>
      <c r="N5" s="4"/>
      <c r="O5" s="7"/>
      <c r="P5" s="7"/>
      <c r="Q5" s="5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1" t="s">
        <v>0</v>
      </c>
      <c r="B6" s="1" t="s">
        <v>18</v>
      </c>
      <c r="C6" s="1" t="s">
        <v>19</v>
      </c>
      <c r="D6" s="1" t="s">
        <v>3</v>
      </c>
      <c r="E6" s="2"/>
      <c r="F6" s="3"/>
      <c r="G6" s="3"/>
      <c r="H6" s="3"/>
      <c r="I6" s="2"/>
      <c r="J6" s="1" t="s">
        <v>20</v>
      </c>
      <c r="K6" s="1" t="s">
        <v>10</v>
      </c>
      <c r="L6" s="1">
        <v>26.42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1" t="s">
        <v>7</v>
      </c>
      <c r="B7" s="1">
        <v>12.0</v>
      </c>
      <c r="C7" s="1">
        <v>2.04</v>
      </c>
      <c r="D7" s="1">
        <f>2*L2</f>
        <v>88.38</v>
      </c>
      <c r="E7" s="2"/>
      <c r="F7" s="3"/>
      <c r="G7" s="3"/>
      <c r="H7" s="3"/>
      <c r="I7" s="2"/>
      <c r="J7" s="1" t="s">
        <v>21</v>
      </c>
      <c r="K7" s="1" t="s">
        <v>10</v>
      </c>
      <c r="L7" s="1">
        <v>82.08</v>
      </c>
      <c r="M7" s="2"/>
      <c r="N7" s="1" t="s">
        <v>22</v>
      </c>
      <c r="O7" s="1" t="s">
        <v>23</v>
      </c>
      <c r="P7" s="1" t="s">
        <v>3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1" t="s">
        <v>11</v>
      </c>
      <c r="B8" s="1">
        <v>18.0</v>
      </c>
      <c r="C8" s="1">
        <v>3.06</v>
      </c>
      <c r="D8" s="1">
        <f>3*L2</f>
        <v>132.57</v>
      </c>
      <c r="E8" s="2"/>
      <c r="F8" s="3"/>
      <c r="G8" s="3"/>
      <c r="H8" s="3"/>
      <c r="I8" s="2"/>
      <c r="J8" s="1" t="s">
        <v>24</v>
      </c>
      <c r="K8" s="1" t="s">
        <v>10</v>
      </c>
      <c r="L8" s="1">
        <v>45.49</v>
      </c>
      <c r="M8" s="2"/>
      <c r="N8" s="1" t="s">
        <v>25</v>
      </c>
      <c r="O8" s="1">
        <v>1.0</v>
      </c>
      <c r="P8" s="1">
        <f t="shared" ref="P8:P9" si="1">L10</f>
        <v>32.09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1" t="s">
        <v>14</v>
      </c>
      <c r="B9" s="1">
        <v>24.0</v>
      </c>
      <c r="C9" s="1">
        <v>4.08</v>
      </c>
      <c r="D9" s="1">
        <f>L2*4</f>
        <v>176.76</v>
      </c>
      <c r="E9" s="2"/>
      <c r="F9" s="3"/>
      <c r="G9" s="3"/>
      <c r="H9" s="3"/>
      <c r="I9" s="2"/>
      <c r="J9" s="1" t="s">
        <v>26</v>
      </c>
      <c r="K9" s="1" t="s">
        <v>10</v>
      </c>
      <c r="L9" s="1">
        <v>14.06</v>
      </c>
      <c r="M9" s="2"/>
      <c r="N9" s="1" t="s">
        <v>27</v>
      </c>
      <c r="O9" s="1">
        <v>1.0</v>
      </c>
      <c r="P9" s="8">
        <f t="shared" si="1"/>
        <v>37.9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2"/>
      <c r="B10" s="2"/>
      <c r="C10" s="2"/>
      <c r="D10" s="2"/>
      <c r="E10" s="2"/>
      <c r="F10" s="3"/>
      <c r="G10" s="3"/>
      <c r="H10" s="3"/>
      <c r="I10" s="2"/>
      <c r="J10" s="1" t="s">
        <v>28</v>
      </c>
      <c r="K10" s="1" t="s">
        <v>29</v>
      </c>
      <c r="L10" s="1">
        <v>32.09</v>
      </c>
      <c r="M10" s="2"/>
      <c r="N10" s="1" t="s">
        <v>30</v>
      </c>
      <c r="O10" s="8"/>
      <c r="P10" s="8">
        <f>SUM(P8:P9)</f>
        <v>69.99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1" t="s">
        <v>0</v>
      </c>
      <c r="B11" s="1" t="s">
        <v>18</v>
      </c>
      <c r="C11" s="1" t="s">
        <v>31</v>
      </c>
      <c r="D11" s="1" t="s">
        <v>3</v>
      </c>
      <c r="E11" s="2"/>
      <c r="F11" s="2"/>
      <c r="G11" s="2"/>
      <c r="H11" s="2"/>
      <c r="I11" s="2"/>
      <c r="J11" s="1" t="s">
        <v>27</v>
      </c>
      <c r="K11" s="1" t="s">
        <v>29</v>
      </c>
      <c r="L11" s="1">
        <v>37.9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1" t="s">
        <v>7</v>
      </c>
      <c r="B12" s="1">
        <v>12.0</v>
      </c>
      <c r="C12" s="1" t="s">
        <v>32</v>
      </c>
      <c r="D12" s="1">
        <f>L7</f>
        <v>82.08</v>
      </c>
      <c r="E12" s="2"/>
      <c r="F12" s="2"/>
      <c r="G12" s="2"/>
      <c r="H12" s="2"/>
      <c r="I12" s="2"/>
      <c r="J12" s="1" t="s">
        <v>33</v>
      </c>
      <c r="K12" s="1" t="s">
        <v>34</v>
      </c>
      <c r="L12" s="1">
        <v>5.0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1" t="s">
        <v>11</v>
      </c>
      <c r="B13" s="1">
        <v>18.0</v>
      </c>
      <c r="C13" s="1" t="s">
        <v>35</v>
      </c>
      <c r="D13" s="1">
        <f>L7+L8</f>
        <v>127.57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1" t="s">
        <v>14</v>
      </c>
      <c r="B14" s="1">
        <v>24.0</v>
      </c>
      <c r="C14" s="1" t="s">
        <v>36</v>
      </c>
      <c r="D14" s="1">
        <f>2*L7</f>
        <v>164.16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1" t="s">
        <v>37</v>
      </c>
      <c r="B16" s="1" t="s">
        <v>38</v>
      </c>
      <c r="C16" s="1" t="s">
        <v>39</v>
      </c>
      <c r="D16" s="1" t="s">
        <v>40</v>
      </c>
      <c r="E16" s="1" t="s">
        <v>41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9">
        <v>1.0</v>
      </c>
      <c r="B17" s="9">
        <v>12.0</v>
      </c>
      <c r="C17" s="10" t="s">
        <v>42</v>
      </c>
      <c r="D17" s="1">
        <v>50.0</v>
      </c>
      <c r="E17" s="9">
        <v>38.0</v>
      </c>
      <c r="F17" s="2"/>
      <c r="G17" s="3"/>
      <c r="H17" s="3"/>
      <c r="I17" s="2"/>
      <c r="J17" s="11"/>
      <c r="K17" s="11"/>
      <c r="L17" s="2"/>
      <c r="M17" s="2"/>
      <c r="N17" s="2"/>
      <c r="O17" s="12"/>
      <c r="P17" s="12"/>
      <c r="Q17" s="12"/>
      <c r="R17" s="12"/>
      <c r="S17" s="12"/>
      <c r="T17" s="2"/>
      <c r="U17" s="2"/>
      <c r="V17" s="2"/>
      <c r="W17" s="2"/>
      <c r="X17" s="2"/>
      <c r="Y17" s="2"/>
      <c r="Z17" s="2"/>
    </row>
    <row r="18" ht="22.5" customHeight="1">
      <c r="A18" s="9">
        <v>2.0</v>
      </c>
      <c r="B18" s="9">
        <v>12.0</v>
      </c>
      <c r="C18" s="10" t="s">
        <v>43</v>
      </c>
      <c r="D18" s="1">
        <v>38.0</v>
      </c>
      <c r="E18" s="9">
        <v>26.0</v>
      </c>
      <c r="F18" s="2"/>
      <c r="G18" s="3"/>
      <c r="H18" s="3"/>
      <c r="I18" s="2"/>
      <c r="J18" s="11"/>
      <c r="K18" s="11"/>
      <c r="L18" s="2"/>
      <c r="M18" s="2"/>
      <c r="N18" s="2"/>
      <c r="O18" s="12"/>
      <c r="P18" s="12"/>
      <c r="Q18" s="12"/>
      <c r="R18" s="12"/>
      <c r="S18" s="12"/>
      <c r="T18" s="2"/>
      <c r="U18" s="2"/>
      <c r="V18" s="2"/>
      <c r="W18" s="2"/>
      <c r="X18" s="2"/>
      <c r="Y18" s="2"/>
      <c r="Z18" s="2"/>
    </row>
    <row r="19" ht="22.5" customHeight="1">
      <c r="A19" s="9">
        <v>3.0</v>
      </c>
      <c r="B19" s="9">
        <v>12.0</v>
      </c>
      <c r="C19" s="10" t="s">
        <v>43</v>
      </c>
      <c r="D19" s="1">
        <v>26.0</v>
      </c>
      <c r="E19" s="9">
        <v>14.0</v>
      </c>
      <c r="F19" s="2"/>
      <c r="G19" s="2"/>
      <c r="H19" s="2"/>
      <c r="I19" s="2"/>
      <c r="J19" s="2"/>
      <c r="K19" s="2"/>
      <c r="L19" s="2"/>
      <c r="M19" s="2"/>
      <c r="N19" s="2"/>
      <c r="O19" s="12"/>
      <c r="P19" s="12"/>
      <c r="Q19" s="12"/>
      <c r="R19" s="12"/>
      <c r="S19" s="12"/>
      <c r="T19" s="2"/>
      <c r="U19" s="2"/>
      <c r="V19" s="2"/>
      <c r="W19" s="2"/>
      <c r="X19" s="2"/>
      <c r="Y19" s="2"/>
      <c r="Z19" s="2"/>
    </row>
    <row r="20" ht="22.5" customHeight="1">
      <c r="A20" s="9">
        <v>4.0</v>
      </c>
      <c r="B20" s="9">
        <v>18.0</v>
      </c>
      <c r="C20" s="10" t="s">
        <v>42</v>
      </c>
      <c r="D20" s="1" t="s">
        <v>44</v>
      </c>
      <c r="E20" s="9">
        <v>46.0</v>
      </c>
      <c r="F20" s="2"/>
      <c r="G20" s="1" t="s">
        <v>37</v>
      </c>
      <c r="H20" s="1" t="s">
        <v>45</v>
      </c>
      <c r="I20" s="1" t="s">
        <v>46</v>
      </c>
      <c r="J20" s="1" t="s">
        <v>47</v>
      </c>
      <c r="K20" s="2"/>
      <c r="L20" s="11"/>
      <c r="M20" s="11"/>
      <c r="N20" s="2"/>
      <c r="O20" s="11"/>
      <c r="P20" s="11"/>
      <c r="Q20" s="11"/>
      <c r="R20" s="11"/>
      <c r="S20" s="12"/>
      <c r="T20" s="2"/>
      <c r="U20" s="2"/>
      <c r="V20" s="2"/>
      <c r="W20" s="2"/>
      <c r="X20" s="2"/>
      <c r="Y20" s="2"/>
      <c r="Z20" s="2"/>
    </row>
    <row r="21" ht="22.5" customHeight="1">
      <c r="A21" s="9">
        <v>5.0</v>
      </c>
      <c r="B21" s="9">
        <v>18.0</v>
      </c>
      <c r="C21" s="10" t="s">
        <v>43</v>
      </c>
      <c r="D21" s="1">
        <v>46.0</v>
      </c>
      <c r="E21" s="9">
        <v>28.0</v>
      </c>
      <c r="F21" s="2"/>
      <c r="G21" s="9">
        <v>0.0</v>
      </c>
      <c r="H21" s="9">
        <f>-P10</f>
        <v>-69.99</v>
      </c>
      <c r="I21" s="13">
        <f>-P10</f>
        <v>-69.99</v>
      </c>
      <c r="J21" s="13">
        <f>-P10</f>
        <v>-69.99</v>
      </c>
      <c r="K21" s="2"/>
      <c r="L21" s="11"/>
      <c r="M21" s="11"/>
      <c r="N21" s="2"/>
      <c r="O21" s="11"/>
      <c r="P21" s="11"/>
      <c r="Q21" s="11"/>
      <c r="R21" s="11"/>
      <c r="S21" s="12"/>
      <c r="T21" s="2"/>
      <c r="U21" s="2"/>
      <c r="V21" s="2"/>
      <c r="W21" s="2"/>
      <c r="X21" s="2"/>
      <c r="Y21" s="2"/>
      <c r="Z21" s="2"/>
    </row>
    <row r="22" ht="22.5" customHeight="1">
      <c r="A22" s="9">
        <v>6.0</v>
      </c>
      <c r="B22" s="9">
        <v>18.0</v>
      </c>
      <c r="C22" s="10" t="s">
        <v>43</v>
      </c>
      <c r="D22" s="1">
        <v>28.0</v>
      </c>
      <c r="E22" s="9">
        <v>10.0</v>
      </c>
      <c r="F22" s="2"/>
      <c r="G22" s="9">
        <v>1.0</v>
      </c>
      <c r="H22" s="14">
        <f t="shared" ref="H22:H33" si="2">J58-O42</f>
        <v>223.49</v>
      </c>
      <c r="I22" s="15">
        <f t="shared" ref="I22:I33" si="3">H22/(1+$N$25)^G22</f>
        <v>220.9054067</v>
      </c>
      <c r="J22" s="15">
        <f t="shared" ref="J22:J33" si="4">I22+J21</f>
        <v>150.9154067</v>
      </c>
      <c r="K22" s="2"/>
      <c r="L22" s="2"/>
      <c r="M22" s="2"/>
      <c r="N22" s="2"/>
      <c r="O22" s="11"/>
      <c r="P22" s="11"/>
      <c r="Q22" s="11"/>
      <c r="R22" s="11"/>
      <c r="S22" s="12"/>
      <c r="T22" s="2"/>
      <c r="U22" s="2"/>
      <c r="V22" s="2"/>
      <c r="W22" s="2"/>
      <c r="X22" s="2"/>
      <c r="Y22" s="2"/>
      <c r="Z22" s="2"/>
    </row>
    <row r="23" ht="22.5" customHeight="1">
      <c r="A23" s="9">
        <v>7.0</v>
      </c>
      <c r="B23" s="9">
        <v>24.0</v>
      </c>
      <c r="C23" s="10" t="s">
        <v>42</v>
      </c>
      <c r="D23" s="1" t="s">
        <v>48</v>
      </c>
      <c r="E23" s="9">
        <v>36.0</v>
      </c>
      <c r="F23" s="2"/>
      <c r="G23" s="14">
        <f t="shared" ref="G23:G33" si="5">1+G22</f>
        <v>2</v>
      </c>
      <c r="H23" s="14">
        <f t="shared" si="2"/>
        <v>242.55</v>
      </c>
      <c r="I23" s="15">
        <f t="shared" si="3"/>
        <v>236.9724065</v>
      </c>
      <c r="J23" s="15">
        <f t="shared" si="4"/>
        <v>387.8878133</v>
      </c>
      <c r="K23" s="2"/>
      <c r="L23" s="1" t="s">
        <v>49</v>
      </c>
      <c r="M23" s="1" t="s">
        <v>50</v>
      </c>
      <c r="N23" s="16" t="s">
        <v>51</v>
      </c>
      <c r="O23" s="11"/>
      <c r="P23" s="11"/>
      <c r="Q23" s="11"/>
      <c r="R23" s="11"/>
      <c r="S23" s="12"/>
      <c r="T23" s="2"/>
      <c r="U23" s="2"/>
      <c r="V23" s="2"/>
      <c r="W23" s="2"/>
      <c r="X23" s="2"/>
      <c r="Y23" s="2"/>
      <c r="Z23" s="2"/>
    </row>
    <row r="24" ht="22.5" customHeight="1">
      <c r="A24" s="9">
        <v>8.0</v>
      </c>
      <c r="B24" s="9">
        <v>24.0</v>
      </c>
      <c r="C24" s="10" t="s">
        <v>43</v>
      </c>
      <c r="D24" s="1">
        <v>36.0</v>
      </c>
      <c r="E24" s="9">
        <v>12.0</v>
      </c>
      <c r="F24" s="2"/>
      <c r="G24" s="14">
        <f t="shared" si="5"/>
        <v>3</v>
      </c>
      <c r="H24" s="14">
        <f t="shared" si="2"/>
        <v>237.55</v>
      </c>
      <c r="I24" s="15">
        <f t="shared" si="3"/>
        <v>229.4033654</v>
      </c>
      <c r="J24" s="15">
        <f t="shared" si="4"/>
        <v>617.2911787</v>
      </c>
      <c r="K24" s="2"/>
      <c r="L24" s="1" t="s">
        <v>52</v>
      </c>
      <c r="M24" s="1">
        <v>0.15</v>
      </c>
      <c r="N24" s="17"/>
      <c r="O24" s="11"/>
      <c r="P24" s="11"/>
      <c r="Q24" s="11"/>
      <c r="R24" s="11"/>
      <c r="S24" s="12"/>
      <c r="T24" s="2"/>
      <c r="U24" s="2"/>
      <c r="V24" s="2"/>
      <c r="W24" s="2"/>
      <c r="X24" s="2"/>
      <c r="Y24" s="2"/>
      <c r="Z24" s="2"/>
    </row>
    <row r="25" ht="22.5" customHeight="1">
      <c r="A25" s="9">
        <v>9.0</v>
      </c>
      <c r="B25" s="9">
        <v>24.0</v>
      </c>
      <c r="C25" s="10" t="s">
        <v>42</v>
      </c>
      <c r="D25" s="1" t="s">
        <v>53</v>
      </c>
      <c r="E25" s="9">
        <v>38.0</v>
      </c>
      <c r="F25" s="2"/>
      <c r="G25" s="14">
        <f t="shared" si="5"/>
        <v>4</v>
      </c>
      <c r="H25" s="14">
        <f t="shared" si="2"/>
        <v>347.15</v>
      </c>
      <c r="I25" s="15">
        <f t="shared" si="3"/>
        <v>331.3676971</v>
      </c>
      <c r="J25" s="15">
        <f t="shared" si="4"/>
        <v>948.6588758</v>
      </c>
      <c r="K25" s="2"/>
      <c r="L25" s="1" t="s">
        <v>37</v>
      </c>
      <c r="M25" s="1">
        <v>0.0117</v>
      </c>
      <c r="N25" s="18">
        <v>0.0117</v>
      </c>
      <c r="O25" s="11"/>
      <c r="P25" s="11"/>
      <c r="Q25" s="11"/>
      <c r="R25" s="11"/>
      <c r="S25" s="12"/>
      <c r="T25" s="2"/>
      <c r="U25" s="2"/>
      <c r="V25" s="2"/>
      <c r="W25" s="2"/>
      <c r="X25" s="2"/>
      <c r="Y25" s="2"/>
      <c r="Z25" s="2"/>
    </row>
    <row r="26" ht="22.5" customHeight="1">
      <c r="A26" s="9">
        <v>10.0</v>
      </c>
      <c r="B26" s="9">
        <v>24.0</v>
      </c>
      <c r="C26" s="10" t="s">
        <v>43</v>
      </c>
      <c r="D26" s="1">
        <v>38.0</v>
      </c>
      <c r="E26" s="9">
        <v>14.0</v>
      </c>
      <c r="F26" s="2"/>
      <c r="G26" s="14">
        <f t="shared" si="5"/>
        <v>5</v>
      </c>
      <c r="H26" s="14">
        <f t="shared" si="2"/>
        <v>366.21</v>
      </c>
      <c r="I26" s="15">
        <f t="shared" si="3"/>
        <v>345.5186143</v>
      </c>
      <c r="J26" s="15">
        <f t="shared" si="4"/>
        <v>1294.17749</v>
      </c>
      <c r="K26" s="2"/>
      <c r="L26" s="2"/>
      <c r="M26" s="2"/>
      <c r="N26" s="2"/>
      <c r="O26" s="11"/>
      <c r="P26" s="11"/>
      <c r="Q26" s="11"/>
      <c r="R26" s="11"/>
      <c r="S26" s="12"/>
      <c r="T26" s="2"/>
      <c r="U26" s="2"/>
      <c r="V26" s="2"/>
      <c r="W26" s="2"/>
      <c r="X26" s="2"/>
      <c r="Y26" s="2"/>
      <c r="Z26" s="2"/>
    </row>
    <row r="27" ht="22.5" customHeight="1">
      <c r="A27" s="9">
        <v>11.0</v>
      </c>
      <c r="B27" s="9">
        <v>24.0</v>
      </c>
      <c r="C27" s="10" t="s">
        <v>42</v>
      </c>
      <c r="D27" s="1" t="s">
        <v>44</v>
      </c>
      <c r="E27" s="9">
        <v>40.0</v>
      </c>
      <c r="F27" s="2"/>
      <c r="G27" s="14">
        <f t="shared" si="5"/>
        <v>6</v>
      </c>
      <c r="H27" s="14">
        <f t="shared" si="2"/>
        <v>361.21</v>
      </c>
      <c r="I27" s="15">
        <f t="shared" si="3"/>
        <v>336.859861</v>
      </c>
      <c r="J27" s="15">
        <f t="shared" si="4"/>
        <v>1631.037351</v>
      </c>
      <c r="K27" s="2"/>
      <c r="L27" s="19" t="s">
        <v>54</v>
      </c>
      <c r="M27" s="2"/>
      <c r="N27" s="2"/>
      <c r="O27" s="11"/>
      <c r="P27" s="11"/>
      <c r="Q27" s="11"/>
      <c r="R27" s="11"/>
      <c r="S27" s="12"/>
      <c r="T27" s="2"/>
      <c r="U27" s="2"/>
      <c r="V27" s="2"/>
      <c r="W27" s="2"/>
      <c r="X27" s="2"/>
      <c r="Y27" s="2"/>
      <c r="Z27" s="2"/>
    </row>
    <row r="28" ht="22.5" customHeight="1">
      <c r="A28" s="9">
        <v>12.0</v>
      </c>
      <c r="B28" s="9">
        <v>24.0</v>
      </c>
      <c r="C28" s="10" t="s">
        <v>43</v>
      </c>
      <c r="D28" s="1">
        <v>40.0</v>
      </c>
      <c r="E28" s="9">
        <v>16.0</v>
      </c>
      <c r="F28" s="2"/>
      <c r="G28" s="14">
        <f t="shared" si="5"/>
        <v>7</v>
      </c>
      <c r="H28" s="14">
        <f t="shared" si="2"/>
        <v>479.71</v>
      </c>
      <c r="I28" s="15">
        <f t="shared" si="3"/>
        <v>442.1977433</v>
      </c>
      <c r="J28" s="15">
        <f t="shared" si="4"/>
        <v>2073.235094</v>
      </c>
      <c r="K28" s="2"/>
      <c r="L28" s="19" t="s">
        <v>55</v>
      </c>
      <c r="M28" s="2"/>
      <c r="N28" s="2"/>
      <c r="O28" s="11"/>
      <c r="P28" s="11"/>
      <c r="Q28" s="11"/>
      <c r="R28" s="11"/>
      <c r="S28" s="12"/>
      <c r="T28" s="2"/>
      <c r="U28" s="2"/>
      <c r="V28" s="2"/>
      <c r="W28" s="2"/>
      <c r="X28" s="2"/>
      <c r="Y28" s="2"/>
      <c r="Z28" s="2"/>
    </row>
    <row r="29" ht="22.5" customHeight="1">
      <c r="A29" s="2"/>
      <c r="B29" s="2"/>
      <c r="C29" s="2"/>
      <c r="D29" s="2"/>
      <c r="E29" s="2"/>
      <c r="F29" s="2"/>
      <c r="G29" s="14">
        <f t="shared" si="5"/>
        <v>8</v>
      </c>
      <c r="H29" s="14">
        <f t="shared" si="2"/>
        <v>493.77</v>
      </c>
      <c r="I29" s="15">
        <f t="shared" si="3"/>
        <v>449.8945167</v>
      </c>
      <c r="J29" s="15">
        <f t="shared" si="4"/>
        <v>2523.129611</v>
      </c>
      <c r="K29" s="2"/>
      <c r="L29" s="2"/>
      <c r="M29" s="2"/>
      <c r="N29" s="2"/>
      <c r="O29" s="11"/>
      <c r="P29" s="11"/>
      <c r="Q29" s="11"/>
      <c r="R29" s="11"/>
      <c r="S29" s="12"/>
      <c r="T29" s="2"/>
      <c r="U29" s="2"/>
      <c r="V29" s="2"/>
      <c r="W29" s="2"/>
      <c r="X29" s="2"/>
      <c r="Y29" s="2"/>
      <c r="Z29" s="2"/>
    </row>
    <row r="30" ht="22.5" customHeight="1">
      <c r="A30" s="1" t="s">
        <v>0</v>
      </c>
      <c r="B30" s="1" t="s">
        <v>56</v>
      </c>
      <c r="C30" s="1" t="s">
        <v>57</v>
      </c>
      <c r="D30" s="1" t="s">
        <v>58</v>
      </c>
      <c r="E30" s="1" t="s">
        <v>59</v>
      </c>
      <c r="F30" s="2"/>
      <c r="G30" s="14">
        <f t="shared" si="5"/>
        <v>9</v>
      </c>
      <c r="H30" s="14">
        <f t="shared" si="2"/>
        <v>479.71</v>
      </c>
      <c r="I30" s="15">
        <f t="shared" si="3"/>
        <v>432.0291214</v>
      </c>
      <c r="J30" s="15">
        <f t="shared" si="4"/>
        <v>2955.158732</v>
      </c>
      <c r="K30" s="2"/>
      <c r="L30" s="2"/>
      <c r="M30" s="2"/>
      <c r="N30" s="2"/>
      <c r="O30" s="11"/>
      <c r="P30" s="11"/>
      <c r="Q30" s="11"/>
      <c r="R30" s="11"/>
      <c r="S30" s="12"/>
      <c r="T30" s="2"/>
      <c r="U30" s="2"/>
      <c r="V30" s="2"/>
      <c r="W30" s="2"/>
      <c r="X30" s="2"/>
      <c r="Y30" s="2"/>
      <c r="Z30" s="2"/>
    </row>
    <row r="31" ht="22.5" customHeight="1">
      <c r="A31" s="1" t="s">
        <v>7</v>
      </c>
      <c r="B31" s="1">
        <v>2.04</v>
      </c>
      <c r="C31" s="1">
        <v>0.68</v>
      </c>
      <c r="D31" s="1">
        <v>0.68</v>
      </c>
      <c r="E31" s="1">
        <v>0.47</v>
      </c>
      <c r="F31" s="2"/>
      <c r="G31" s="14">
        <f t="shared" si="5"/>
        <v>10</v>
      </c>
      <c r="H31" s="14">
        <f t="shared" si="2"/>
        <v>493.77</v>
      </c>
      <c r="I31" s="15">
        <f t="shared" si="3"/>
        <v>439.5489025</v>
      </c>
      <c r="J31" s="15">
        <f t="shared" si="4"/>
        <v>3394.707635</v>
      </c>
      <c r="K31" s="2"/>
      <c r="L31" s="2"/>
      <c r="M31" s="2"/>
      <c r="N31" s="2"/>
      <c r="O31" s="11"/>
      <c r="P31" s="11"/>
      <c r="Q31" s="11"/>
      <c r="R31" s="11"/>
      <c r="S31" s="12"/>
      <c r="T31" s="2"/>
      <c r="U31" s="2"/>
      <c r="V31" s="2"/>
      <c r="W31" s="2"/>
      <c r="X31" s="2"/>
      <c r="Y31" s="2"/>
      <c r="Z31" s="2"/>
    </row>
    <row r="32" ht="22.5" customHeight="1">
      <c r="A32" s="1" t="s">
        <v>11</v>
      </c>
      <c r="B32" s="1">
        <v>3.06</v>
      </c>
      <c r="C32" s="1">
        <v>1.02</v>
      </c>
      <c r="D32" s="1">
        <v>1.02</v>
      </c>
      <c r="E32" s="1">
        <v>0.71</v>
      </c>
      <c r="F32" s="2"/>
      <c r="G32" s="14">
        <f t="shared" si="5"/>
        <v>11</v>
      </c>
      <c r="H32" s="14">
        <f t="shared" si="2"/>
        <v>479.71</v>
      </c>
      <c r="I32" s="15">
        <f t="shared" si="3"/>
        <v>422.0943335</v>
      </c>
      <c r="J32" s="15">
        <f t="shared" si="4"/>
        <v>3816.801968</v>
      </c>
      <c r="K32" s="2"/>
      <c r="L32" s="2"/>
      <c r="M32" s="2"/>
      <c r="N32" s="2"/>
      <c r="S32" s="12"/>
      <c r="T32" s="2"/>
      <c r="U32" s="2"/>
      <c r="V32" s="2"/>
      <c r="W32" s="2"/>
      <c r="X32" s="2"/>
      <c r="Y32" s="2"/>
      <c r="Z32" s="2"/>
    </row>
    <row r="33" ht="22.5" customHeight="1">
      <c r="A33" s="1" t="s">
        <v>14</v>
      </c>
      <c r="B33" s="1">
        <v>4.08</v>
      </c>
      <c r="C33" s="1">
        <v>1.36</v>
      </c>
      <c r="D33" s="1">
        <v>1.36</v>
      </c>
      <c r="E33" s="1">
        <v>0.95</v>
      </c>
      <c r="F33" s="2"/>
      <c r="G33" s="14">
        <f t="shared" si="5"/>
        <v>12</v>
      </c>
      <c r="H33" s="14">
        <f t="shared" si="2"/>
        <v>493.77</v>
      </c>
      <c r="I33" s="15">
        <f t="shared" si="3"/>
        <v>429.4411924</v>
      </c>
      <c r="J33" s="15">
        <f t="shared" si="4"/>
        <v>4246.243161</v>
      </c>
      <c r="K33" s="2"/>
      <c r="L33" s="2"/>
      <c r="M33" s="2"/>
      <c r="N33" s="2"/>
      <c r="S33" s="1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12"/>
      <c r="P34" s="12"/>
      <c r="Q34" s="12"/>
      <c r="R34" s="12"/>
      <c r="S34" s="12"/>
      <c r="T34" s="2"/>
      <c r="U34" s="2"/>
      <c r="V34" s="2"/>
      <c r="W34" s="2"/>
      <c r="X34" s="2"/>
      <c r="Y34" s="2"/>
      <c r="Z34" s="2"/>
    </row>
    <row r="35">
      <c r="A35" s="19" t="s">
        <v>60</v>
      </c>
      <c r="B35" s="2"/>
      <c r="C35" s="2"/>
      <c r="D35" s="2"/>
      <c r="E35" s="2"/>
      <c r="F35" s="2"/>
      <c r="G35" s="2"/>
      <c r="H35" s="19" t="s">
        <v>61</v>
      </c>
      <c r="I35" s="20">
        <f>SUM(Viabilidade_Otimista[Valor Presente (VP)])</f>
        <v>4246.243161</v>
      </c>
      <c r="J35" s="21">
        <f t="array" ref="J35">NPV(N25,H22:H33)+H21</f>
        <v>4246.243161</v>
      </c>
      <c r="K35" s="2"/>
      <c r="L35" s="2"/>
      <c r="M35" s="2"/>
      <c r="N35" s="2"/>
      <c r="O35" s="12"/>
      <c r="P35" s="22"/>
      <c r="Q35" s="23"/>
      <c r="R35" s="12"/>
      <c r="S35" s="12"/>
      <c r="T35" s="2"/>
      <c r="U35" s="2"/>
      <c r="V35" s="2"/>
      <c r="W35" s="2"/>
      <c r="X35" s="2"/>
      <c r="Y35" s="2"/>
      <c r="Z35" s="2"/>
    </row>
    <row r="36">
      <c r="A36" s="19" t="s">
        <v>62</v>
      </c>
      <c r="B36" s="2"/>
      <c r="C36" s="2"/>
      <c r="D36" s="2"/>
      <c r="E36" s="2"/>
      <c r="F36" s="2"/>
      <c r="G36" s="2"/>
      <c r="H36" s="19" t="s">
        <v>63</v>
      </c>
      <c r="I36" s="24">
        <f>IRR(Viabilidade_Otimista[Fluxo de Caixa (FC)])</f>
        <v>3.274081017</v>
      </c>
      <c r="J36" s="19"/>
      <c r="K36" s="2"/>
      <c r="L36" s="2"/>
      <c r="M36" s="2"/>
      <c r="N36" s="2"/>
      <c r="O36" s="12"/>
      <c r="P36" s="22"/>
      <c r="Q36" s="25"/>
      <c r="R36" s="12"/>
      <c r="S36" s="12"/>
      <c r="T36" s="2"/>
      <c r="U36" s="2"/>
      <c r="V36" s="2"/>
      <c r="W36" s="2"/>
      <c r="X36" s="2"/>
      <c r="Y36" s="2"/>
      <c r="Z36" s="2"/>
    </row>
    <row r="37">
      <c r="A37" s="19" t="s">
        <v>64</v>
      </c>
      <c r="B37" s="2"/>
      <c r="C37" s="2"/>
      <c r="D37" s="2"/>
      <c r="E37" s="2"/>
      <c r="F37" s="2"/>
      <c r="G37" s="2"/>
      <c r="H37" s="19" t="s">
        <v>65</v>
      </c>
      <c r="I37" s="19" t="s">
        <v>66</v>
      </c>
      <c r="J37" s="2"/>
      <c r="K37" s="2"/>
      <c r="L37" s="2"/>
      <c r="M37" s="2"/>
      <c r="N37" s="2"/>
      <c r="O37" s="12"/>
      <c r="P37" s="22"/>
      <c r="Q37" s="22"/>
      <c r="R37" s="12"/>
      <c r="S37" s="1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12"/>
      <c r="P38" s="12"/>
      <c r="Q38" s="12"/>
      <c r="R38" s="12"/>
      <c r="S38" s="12"/>
      <c r="T38" s="2"/>
      <c r="U38" s="2"/>
      <c r="V38" s="2"/>
      <c r="W38" s="2"/>
      <c r="X38" s="2"/>
      <c r="Y38" s="2"/>
      <c r="Z38" s="2"/>
    </row>
    <row r="39" ht="22.5" customHeight="1">
      <c r="A39" s="1" t="s">
        <v>37</v>
      </c>
      <c r="B39" s="1" t="s">
        <v>67</v>
      </c>
      <c r="C39" s="1" t="s">
        <v>68</v>
      </c>
      <c r="D39" s="1" t="s">
        <v>69</v>
      </c>
      <c r="E39" s="1" t="s">
        <v>70</v>
      </c>
      <c r="F39" s="2"/>
      <c r="G39" s="2"/>
      <c r="H39" s="19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2.5" customHeight="1">
      <c r="A40" s="1">
        <v>1.0</v>
      </c>
      <c r="B40" s="1">
        <v>12.0</v>
      </c>
      <c r="C40" s="10" t="s">
        <v>71</v>
      </c>
      <c r="D40" s="1">
        <v>24.0</v>
      </c>
      <c r="E40" s="1">
        <v>12.0</v>
      </c>
      <c r="F40" s="2"/>
      <c r="G40" s="2"/>
      <c r="H40" s="1" t="s">
        <v>37</v>
      </c>
      <c r="I40" s="1" t="s">
        <v>72</v>
      </c>
      <c r="J40" s="1" t="s">
        <v>73</v>
      </c>
      <c r="K40" s="1" t="s">
        <v>74</v>
      </c>
      <c r="L40" s="1" t="s">
        <v>75</v>
      </c>
      <c r="M40" s="1" t="s">
        <v>76</v>
      </c>
      <c r="N40" s="1" t="s">
        <v>77</v>
      </c>
      <c r="O40" s="1" t="s">
        <v>30</v>
      </c>
      <c r="P40" s="19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2.5" customHeight="1">
      <c r="A41" s="1">
        <v>2.0</v>
      </c>
      <c r="B41" s="1">
        <v>12.0</v>
      </c>
      <c r="C41" s="10" t="s">
        <v>43</v>
      </c>
      <c r="D41" s="1">
        <v>12.0</v>
      </c>
      <c r="E41" s="1">
        <v>0.0</v>
      </c>
      <c r="F41" s="2"/>
      <c r="G41" s="2"/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8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2.5" customHeight="1">
      <c r="A42" s="1">
        <v>3.0</v>
      </c>
      <c r="B42" s="1">
        <v>12.0</v>
      </c>
      <c r="C42" s="10" t="s">
        <v>71</v>
      </c>
      <c r="D42" s="1">
        <v>24.0</v>
      </c>
      <c r="E42" s="1">
        <v>12.0</v>
      </c>
      <c r="F42" s="2"/>
      <c r="G42" s="2"/>
      <c r="H42" s="1">
        <f t="shared" ref="H42:H53" si="6">1+H41</f>
        <v>1</v>
      </c>
      <c r="I42" s="8">
        <f>D2</f>
        <v>66.52</v>
      </c>
      <c r="J42" s="8">
        <f>D7</f>
        <v>88.38</v>
      </c>
      <c r="K42" s="8">
        <f>D12</f>
        <v>82.08</v>
      </c>
      <c r="L42" s="1">
        <v>5.0</v>
      </c>
      <c r="M42" s="1">
        <f>E31</f>
        <v>0.47</v>
      </c>
      <c r="N42" s="8">
        <f>L9</f>
        <v>14.06</v>
      </c>
      <c r="O42" s="8">
        <f t="shared" ref="O42:O53" si="7">SUM(I42:N42)</f>
        <v>256.51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2.5" customHeight="1">
      <c r="A43" s="1">
        <v>4.0</v>
      </c>
      <c r="B43" s="1">
        <v>18.0</v>
      </c>
      <c r="C43" s="10" t="s">
        <v>71</v>
      </c>
      <c r="D43" s="1">
        <v>36.0</v>
      </c>
      <c r="E43" s="1">
        <v>18.0</v>
      </c>
      <c r="F43" s="2"/>
      <c r="G43" s="2"/>
      <c r="H43" s="1">
        <f t="shared" si="6"/>
        <v>2</v>
      </c>
      <c r="I43" s="8">
        <f>D2</f>
        <v>66.52</v>
      </c>
      <c r="J43" s="8">
        <f>D7</f>
        <v>88.38</v>
      </c>
      <c r="K43" s="8">
        <f>D12</f>
        <v>82.08</v>
      </c>
      <c r="L43" s="1">
        <v>0.0</v>
      </c>
      <c r="M43" s="1">
        <f>E31</f>
        <v>0.47</v>
      </c>
      <c r="N43" s="1">
        <v>0.0</v>
      </c>
      <c r="O43" s="8">
        <f t="shared" si="7"/>
        <v>237.45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2.5" customHeight="1">
      <c r="A44" s="1">
        <v>5.0</v>
      </c>
      <c r="B44" s="1">
        <v>18.0</v>
      </c>
      <c r="C44" s="10" t="s">
        <v>43</v>
      </c>
      <c r="D44" s="1">
        <v>18.0</v>
      </c>
      <c r="E44" s="1">
        <v>0.0</v>
      </c>
      <c r="F44" s="2"/>
      <c r="G44" s="2"/>
      <c r="H44" s="1">
        <f t="shared" si="6"/>
        <v>3</v>
      </c>
      <c r="I44" s="8">
        <f t="shared" ref="I44:I45" si="8">D2</f>
        <v>66.52</v>
      </c>
      <c r="J44" s="8">
        <f t="shared" ref="J44:J45" si="9">D7</f>
        <v>88.38</v>
      </c>
      <c r="K44" s="8">
        <f t="shared" ref="K44:K45" si="10">D12</f>
        <v>82.08</v>
      </c>
      <c r="L44" s="1">
        <v>5.0</v>
      </c>
      <c r="M44" s="8">
        <f t="shared" ref="M44:M45" si="11">E31</f>
        <v>0.47</v>
      </c>
      <c r="N44" s="1">
        <v>0.0</v>
      </c>
      <c r="O44" s="8">
        <f t="shared" si="7"/>
        <v>242.45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2.5" customHeight="1">
      <c r="A45" s="1">
        <v>6.0</v>
      </c>
      <c r="B45" s="1">
        <v>18.0</v>
      </c>
      <c r="C45" s="10" t="s">
        <v>71</v>
      </c>
      <c r="D45" s="1">
        <v>24.0</v>
      </c>
      <c r="E45" s="1">
        <v>6.0</v>
      </c>
      <c r="F45" s="2"/>
      <c r="G45" s="2"/>
      <c r="H45" s="1">
        <f t="shared" si="6"/>
        <v>4</v>
      </c>
      <c r="I45" s="8">
        <f t="shared" si="8"/>
        <v>92.94</v>
      </c>
      <c r="J45" s="8">
        <f t="shared" si="9"/>
        <v>132.57</v>
      </c>
      <c r="K45" s="8">
        <f t="shared" si="10"/>
        <v>127.57</v>
      </c>
      <c r="L45" s="1">
        <v>5.0</v>
      </c>
      <c r="M45" s="8">
        <f t="shared" si="11"/>
        <v>0.71</v>
      </c>
      <c r="N45" s="1">
        <v>14.06</v>
      </c>
      <c r="O45" s="8">
        <f t="shared" si="7"/>
        <v>372.85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2.5" customHeight="1">
      <c r="A46" s="1">
        <v>7.0</v>
      </c>
      <c r="B46" s="1">
        <v>24.0</v>
      </c>
      <c r="C46" s="10" t="s">
        <v>71</v>
      </c>
      <c r="D46" s="1">
        <v>30.0</v>
      </c>
      <c r="E46" s="1">
        <v>6.0</v>
      </c>
      <c r="F46" s="2"/>
      <c r="G46" s="2"/>
      <c r="H46" s="1">
        <f t="shared" si="6"/>
        <v>5</v>
      </c>
      <c r="I46" s="8">
        <f>D3</f>
        <v>92.94</v>
      </c>
      <c r="J46" s="8">
        <f>D8</f>
        <v>132.57</v>
      </c>
      <c r="K46" s="8">
        <f>D13</f>
        <v>127.57</v>
      </c>
      <c r="L46" s="1">
        <v>0.0</v>
      </c>
      <c r="M46" s="8">
        <f>E32</f>
        <v>0.71</v>
      </c>
      <c r="N46" s="1">
        <v>0.0</v>
      </c>
      <c r="O46" s="8">
        <f t="shared" si="7"/>
        <v>353.79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2.5" customHeight="1">
      <c r="A47" s="1">
        <v>8.0</v>
      </c>
      <c r="B47" s="1">
        <v>24.0</v>
      </c>
      <c r="C47" s="10" t="s">
        <v>71</v>
      </c>
      <c r="D47" s="1">
        <v>30.0</v>
      </c>
      <c r="E47" s="1">
        <v>6.0</v>
      </c>
      <c r="F47" s="2"/>
      <c r="G47" s="2"/>
      <c r="H47" s="1">
        <f t="shared" si="6"/>
        <v>6</v>
      </c>
      <c r="I47" s="8">
        <f t="shared" ref="I47:I48" si="12">D3</f>
        <v>92.94</v>
      </c>
      <c r="J47" s="8">
        <f t="shared" ref="J47:J48" si="13">D8</f>
        <v>132.57</v>
      </c>
      <c r="K47" s="8">
        <f t="shared" ref="K47:K48" si="14">D13</f>
        <v>127.57</v>
      </c>
      <c r="L47" s="1">
        <v>5.0</v>
      </c>
      <c r="M47" s="8">
        <f t="shared" ref="M47:M48" si="15">E32</f>
        <v>0.71</v>
      </c>
      <c r="N47" s="1">
        <v>0.0</v>
      </c>
      <c r="O47" s="8">
        <f t="shared" si="7"/>
        <v>358.79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2.5" customHeight="1">
      <c r="A48" s="1">
        <v>9.0</v>
      </c>
      <c r="B48" s="1">
        <v>24.0</v>
      </c>
      <c r="C48" s="10" t="s">
        <v>71</v>
      </c>
      <c r="D48" s="1">
        <v>30.0</v>
      </c>
      <c r="E48" s="1">
        <v>6.0</v>
      </c>
      <c r="F48" s="2"/>
      <c r="G48" s="2"/>
      <c r="H48" s="1">
        <f t="shared" si="6"/>
        <v>7</v>
      </c>
      <c r="I48" s="8">
        <f t="shared" si="12"/>
        <v>119.36</v>
      </c>
      <c r="J48" s="8">
        <f t="shared" si="13"/>
        <v>176.76</v>
      </c>
      <c r="K48" s="8">
        <f t="shared" si="14"/>
        <v>164.16</v>
      </c>
      <c r="L48" s="1">
        <v>5.0</v>
      </c>
      <c r="M48" s="8">
        <f t="shared" si="15"/>
        <v>0.95</v>
      </c>
      <c r="N48" s="1">
        <v>14.06</v>
      </c>
      <c r="O48" s="8">
        <f t="shared" si="7"/>
        <v>480.29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2.5" customHeight="1">
      <c r="A49" s="1">
        <v>10.0</v>
      </c>
      <c r="B49" s="1">
        <v>24.0</v>
      </c>
      <c r="C49" s="10" t="s">
        <v>71</v>
      </c>
      <c r="D49" s="1">
        <v>30.0</v>
      </c>
      <c r="E49" s="1">
        <v>6.0</v>
      </c>
      <c r="F49" s="2"/>
      <c r="G49" s="2"/>
      <c r="H49" s="1">
        <f t="shared" si="6"/>
        <v>8</v>
      </c>
      <c r="I49" s="8">
        <f>D4</f>
        <v>119.36</v>
      </c>
      <c r="J49" s="8">
        <f>D9</f>
        <v>176.76</v>
      </c>
      <c r="K49" s="8">
        <f>D14</f>
        <v>164.16</v>
      </c>
      <c r="L49" s="1">
        <v>5.0</v>
      </c>
      <c r="M49" s="8">
        <f>E33</f>
        <v>0.95</v>
      </c>
      <c r="N49" s="1">
        <v>0.0</v>
      </c>
      <c r="O49" s="8">
        <f t="shared" si="7"/>
        <v>466.23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2.5" customHeight="1">
      <c r="A50" s="1">
        <v>11.0</v>
      </c>
      <c r="B50" s="1">
        <v>24.0</v>
      </c>
      <c r="C50" s="10" t="s">
        <v>71</v>
      </c>
      <c r="D50" s="1">
        <v>30.0</v>
      </c>
      <c r="E50" s="1">
        <v>6.0</v>
      </c>
      <c r="F50" s="2"/>
      <c r="G50" s="2"/>
      <c r="H50" s="1">
        <f t="shared" si="6"/>
        <v>9</v>
      </c>
      <c r="I50" s="8">
        <f>D4</f>
        <v>119.36</v>
      </c>
      <c r="J50" s="8">
        <f>D9</f>
        <v>176.76</v>
      </c>
      <c r="K50" s="8">
        <f>D14</f>
        <v>164.16</v>
      </c>
      <c r="L50" s="1">
        <v>5.0</v>
      </c>
      <c r="M50" s="8">
        <f>E33</f>
        <v>0.95</v>
      </c>
      <c r="N50" s="1">
        <v>14.06</v>
      </c>
      <c r="O50" s="8">
        <f t="shared" si="7"/>
        <v>480.29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2.5" customHeight="1">
      <c r="A51" s="1">
        <v>12.0</v>
      </c>
      <c r="B51" s="1">
        <v>24.0</v>
      </c>
      <c r="C51" s="10" t="s">
        <v>71</v>
      </c>
      <c r="D51" s="1">
        <v>30.0</v>
      </c>
      <c r="E51" s="1">
        <v>6.0</v>
      </c>
      <c r="F51" s="2"/>
      <c r="G51" s="2"/>
      <c r="H51" s="1">
        <f t="shared" si="6"/>
        <v>10</v>
      </c>
      <c r="I51" s="8">
        <f>D4</f>
        <v>119.36</v>
      </c>
      <c r="J51" s="8">
        <f>D9</f>
        <v>176.76</v>
      </c>
      <c r="K51" s="8">
        <f>D14</f>
        <v>164.16</v>
      </c>
      <c r="L51" s="1">
        <v>5.0</v>
      </c>
      <c r="M51" s="8">
        <f>E33</f>
        <v>0.95</v>
      </c>
      <c r="N51" s="1">
        <v>0.0</v>
      </c>
      <c r="O51" s="8">
        <f t="shared" si="7"/>
        <v>466.23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2.5" customHeight="1">
      <c r="A52" s="2"/>
      <c r="B52" s="2"/>
      <c r="C52" s="2"/>
      <c r="D52" s="2"/>
      <c r="E52" s="2"/>
      <c r="F52" s="2"/>
      <c r="G52" s="2"/>
      <c r="H52" s="1">
        <f t="shared" si="6"/>
        <v>11</v>
      </c>
      <c r="I52" s="8">
        <f>D4</f>
        <v>119.36</v>
      </c>
      <c r="J52" s="8">
        <f>D9</f>
        <v>176.76</v>
      </c>
      <c r="K52" s="8">
        <f>D14</f>
        <v>164.16</v>
      </c>
      <c r="L52" s="1">
        <v>5.0</v>
      </c>
      <c r="M52" s="8">
        <f>E33</f>
        <v>0.95</v>
      </c>
      <c r="N52" s="1">
        <v>14.06</v>
      </c>
      <c r="O52" s="8">
        <f t="shared" si="7"/>
        <v>480.29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2.5" customHeight="1">
      <c r="A53" s="2"/>
      <c r="B53" s="2"/>
      <c r="C53" s="2"/>
      <c r="D53" s="2"/>
      <c r="E53" s="2"/>
      <c r="F53" s="2"/>
      <c r="G53" s="2"/>
      <c r="H53" s="1">
        <f t="shared" si="6"/>
        <v>12</v>
      </c>
      <c r="I53" s="8">
        <f>D4</f>
        <v>119.36</v>
      </c>
      <c r="J53" s="8">
        <f>D9</f>
        <v>176.76</v>
      </c>
      <c r="K53" s="8">
        <f>D14</f>
        <v>164.16</v>
      </c>
      <c r="L53" s="1">
        <v>5.0</v>
      </c>
      <c r="M53" s="8">
        <f>E33</f>
        <v>0.95</v>
      </c>
      <c r="N53" s="1">
        <v>0.0</v>
      </c>
      <c r="O53" s="8">
        <f t="shared" si="7"/>
        <v>466.23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9" t="s">
        <v>78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2.5" customHeight="1">
      <c r="A57" s="2"/>
      <c r="B57" s="2"/>
      <c r="C57" s="2"/>
      <c r="D57" s="2"/>
      <c r="E57" s="2"/>
      <c r="F57" s="1" t="s">
        <v>79</v>
      </c>
      <c r="G57" s="11"/>
      <c r="H57" s="1" t="s">
        <v>37</v>
      </c>
      <c r="I57" s="1" t="s">
        <v>80</v>
      </c>
      <c r="J57" s="1" t="s">
        <v>81</v>
      </c>
      <c r="K57" s="2"/>
      <c r="L57" s="1" t="s">
        <v>37</v>
      </c>
      <c r="M57" s="1" t="s">
        <v>80</v>
      </c>
      <c r="N57" s="1" t="s">
        <v>81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2.5" customHeight="1">
      <c r="A58" s="2"/>
      <c r="B58" s="2"/>
      <c r="C58" s="2"/>
      <c r="D58" s="2"/>
      <c r="E58" s="2"/>
      <c r="F58" s="1">
        <v>40.0</v>
      </c>
      <c r="G58" s="11"/>
      <c r="H58" s="1">
        <v>1.0</v>
      </c>
      <c r="I58" s="1">
        <v>12.0</v>
      </c>
      <c r="J58" s="8">
        <f>Tabela_3[Preço Vela]*I58</f>
        <v>480</v>
      </c>
      <c r="K58" s="2"/>
      <c r="L58" s="1">
        <v>1.0</v>
      </c>
      <c r="M58" s="1">
        <v>12.0</v>
      </c>
      <c r="N58" s="8">
        <f>Tabela_3[Preço Vela]*M58</f>
        <v>480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2.5" customHeight="1">
      <c r="A59" s="2"/>
      <c r="B59" s="2"/>
      <c r="C59" s="2"/>
      <c r="D59" s="2"/>
      <c r="E59" s="2"/>
      <c r="F59" s="2"/>
      <c r="G59" s="2"/>
      <c r="H59" s="26">
        <f t="shared" ref="H59:H69" si="16">H58+1</f>
        <v>2</v>
      </c>
      <c r="I59" s="1">
        <v>12.0</v>
      </c>
      <c r="J59" s="8">
        <f>Tabela_3[Preço Vela]*I59</f>
        <v>480</v>
      </c>
      <c r="K59" s="2"/>
      <c r="L59" s="26">
        <f t="shared" ref="L59:L69" si="17">L58+1</f>
        <v>2</v>
      </c>
      <c r="M59" s="1">
        <v>12.0</v>
      </c>
      <c r="N59" s="8">
        <f>Tabela_3[Preço Vela]*M59</f>
        <v>480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2.5" customHeight="1">
      <c r="A60" s="2"/>
      <c r="B60" s="2"/>
      <c r="C60" s="2"/>
      <c r="D60" s="2"/>
      <c r="E60" s="2"/>
      <c r="F60" s="2"/>
      <c r="G60" s="2"/>
      <c r="H60" s="26">
        <f t="shared" si="16"/>
        <v>3</v>
      </c>
      <c r="I60" s="1">
        <v>12.0</v>
      </c>
      <c r="J60" s="8">
        <f>Tabela_3[Preço Vela]*I60</f>
        <v>480</v>
      </c>
      <c r="K60" s="2"/>
      <c r="L60" s="26">
        <f t="shared" si="17"/>
        <v>3</v>
      </c>
      <c r="M60" s="1">
        <v>12.0</v>
      </c>
      <c r="N60" s="8">
        <f>Tabela_3[Preço Vela]*M60</f>
        <v>480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2.5" customHeight="1">
      <c r="A61" s="2"/>
      <c r="B61" s="2"/>
      <c r="C61" s="2"/>
      <c r="D61" s="2"/>
      <c r="E61" s="2"/>
      <c r="F61" s="2"/>
      <c r="G61" s="2"/>
      <c r="H61" s="26">
        <f t="shared" si="16"/>
        <v>4</v>
      </c>
      <c r="I61" s="1">
        <v>18.0</v>
      </c>
      <c r="J61" s="8">
        <f>Tabela_3[Preço Vela]*I61</f>
        <v>720</v>
      </c>
      <c r="K61" s="2"/>
      <c r="L61" s="26">
        <f t="shared" si="17"/>
        <v>4</v>
      </c>
      <c r="M61" s="1">
        <v>12.0</v>
      </c>
      <c r="N61" s="8">
        <f>Tabela_3[Preço Vela]*M61</f>
        <v>480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2.5" customHeight="1">
      <c r="A62" s="2"/>
      <c r="B62" s="2"/>
      <c r="C62" s="2"/>
      <c r="D62" s="2"/>
      <c r="E62" s="2"/>
      <c r="F62" s="2"/>
      <c r="G62" s="2"/>
      <c r="H62" s="26">
        <f t="shared" si="16"/>
        <v>5</v>
      </c>
      <c r="I62" s="1">
        <v>18.0</v>
      </c>
      <c r="J62" s="8">
        <f>Tabela_3[Preço Vela]*I62</f>
        <v>720</v>
      </c>
      <c r="K62" s="2"/>
      <c r="L62" s="26">
        <f t="shared" si="17"/>
        <v>5</v>
      </c>
      <c r="M62" s="1">
        <v>12.0</v>
      </c>
      <c r="N62" s="8">
        <f>Tabela_3[Preço Vela]*M62</f>
        <v>480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2.5" customHeight="1">
      <c r="A63" s="2"/>
      <c r="B63" s="2"/>
      <c r="C63" s="2"/>
      <c r="D63" s="2"/>
      <c r="E63" s="2"/>
      <c r="F63" s="2"/>
      <c r="G63" s="2"/>
      <c r="H63" s="26">
        <f t="shared" si="16"/>
        <v>6</v>
      </c>
      <c r="I63" s="1">
        <v>18.0</v>
      </c>
      <c r="J63" s="8">
        <f>Tabela_3[Preço Vela]*I63</f>
        <v>720</v>
      </c>
      <c r="K63" s="2"/>
      <c r="L63" s="26">
        <f t="shared" si="17"/>
        <v>6</v>
      </c>
      <c r="M63" s="1">
        <v>12.0</v>
      </c>
      <c r="N63" s="8">
        <f>Tabela_3[Preço Vela]*M63</f>
        <v>480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2.5" customHeight="1">
      <c r="A64" s="2"/>
      <c r="B64" s="2"/>
      <c r="C64" s="2"/>
      <c r="D64" s="2"/>
      <c r="E64" s="2"/>
      <c r="F64" s="2"/>
      <c r="G64" s="2"/>
      <c r="H64" s="26">
        <f t="shared" si="16"/>
        <v>7</v>
      </c>
      <c r="I64" s="1">
        <v>24.0</v>
      </c>
      <c r="J64" s="8">
        <f>Tabela_3[Preço Vela]*I64</f>
        <v>960</v>
      </c>
      <c r="K64" s="2"/>
      <c r="L64" s="26">
        <f t="shared" si="17"/>
        <v>7</v>
      </c>
      <c r="M64" s="1">
        <v>12.0</v>
      </c>
      <c r="N64" s="8">
        <f>Tabela_3[Preço Vela]*M64</f>
        <v>480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2.5" customHeight="1">
      <c r="A65" s="2"/>
      <c r="B65" s="2"/>
      <c r="C65" s="2"/>
      <c r="D65" s="2"/>
      <c r="E65" s="2"/>
      <c r="F65" s="2"/>
      <c r="G65" s="2"/>
      <c r="H65" s="26">
        <f t="shared" si="16"/>
        <v>8</v>
      </c>
      <c r="I65" s="1">
        <v>24.0</v>
      </c>
      <c r="J65" s="8">
        <f>Tabela_3[Preço Vela]*I65</f>
        <v>960</v>
      </c>
      <c r="K65" s="2"/>
      <c r="L65" s="26">
        <f t="shared" si="17"/>
        <v>8</v>
      </c>
      <c r="M65" s="1">
        <v>12.0</v>
      </c>
      <c r="N65" s="8">
        <f>Tabela_3[Preço Vela]*M65</f>
        <v>480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2.5" customHeight="1">
      <c r="A66" s="2"/>
      <c r="B66" s="2"/>
      <c r="C66" s="2"/>
      <c r="D66" s="2"/>
      <c r="E66" s="2"/>
      <c r="F66" s="2"/>
      <c r="G66" s="2"/>
      <c r="H66" s="26">
        <f t="shared" si="16"/>
        <v>9</v>
      </c>
      <c r="I66" s="1">
        <v>24.0</v>
      </c>
      <c r="J66" s="8">
        <f>Tabela_3[Preço Vela]*I66</f>
        <v>960</v>
      </c>
      <c r="K66" s="2"/>
      <c r="L66" s="26">
        <f t="shared" si="17"/>
        <v>9</v>
      </c>
      <c r="M66" s="1">
        <v>12.0</v>
      </c>
      <c r="N66" s="8">
        <f>Tabela_3[Preço Vela]*M66</f>
        <v>480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2.5" customHeight="1">
      <c r="A67" s="2"/>
      <c r="B67" s="2"/>
      <c r="C67" s="2"/>
      <c r="D67" s="2"/>
      <c r="E67" s="2"/>
      <c r="F67" s="2"/>
      <c r="G67" s="2"/>
      <c r="H67" s="26">
        <f t="shared" si="16"/>
        <v>10</v>
      </c>
      <c r="I67" s="1">
        <v>24.0</v>
      </c>
      <c r="J67" s="8">
        <f>Tabela_3[Preço Vela]*I67</f>
        <v>960</v>
      </c>
      <c r="K67" s="2"/>
      <c r="L67" s="26">
        <f t="shared" si="17"/>
        <v>10</v>
      </c>
      <c r="M67" s="1">
        <v>12.0</v>
      </c>
      <c r="N67" s="8">
        <f>Tabela_3[Preço Vela]*M67</f>
        <v>480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2.5" customHeight="1">
      <c r="A68" s="2"/>
      <c r="B68" s="2"/>
      <c r="C68" s="2"/>
      <c r="D68" s="2"/>
      <c r="E68" s="2"/>
      <c r="F68" s="2"/>
      <c r="G68" s="2"/>
      <c r="H68" s="26">
        <f t="shared" si="16"/>
        <v>11</v>
      </c>
      <c r="I68" s="1">
        <v>24.0</v>
      </c>
      <c r="J68" s="8">
        <f>Tabela_3[Preço Vela]*I68</f>
        <v>960</v>
      </c>
      <c r="K68" s="2"/>
      <c r="L68" s="26">
        <f t="shared" si="17"/>
        <v>11</v>
      </c>
      <c r="M68" s="1">
        <v>12.0</v>
      </c>
      <c r="N68" s="8">
        <f>Tabela_3[Preço Vela]*M68</f>
        <v>480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2.5" customHeight="1">
      <c r="A69" s="2"/>
      <c r="B69" s="2"/>
      <c r="C69" s="2"/>
      <c r="D69" s="2"/>
      <c r="E69" s="2"/>
      <c r="F69" s="2"/>
      <c r="G69" s="2"/>
      <c r="H69" s="26">
        <f t="shared" si="16"/>
        <v>12</v>
      </c>
      <c r="I69" s="1">
        <v>24.0</v>
      </c>
      <c r="J69" s="8">
        <f>Tabela_3[Preço Vela]*I69</f>
        <v>960</v>
      </c>
      <c r="K69" s="2"/>
      <c r="L69" s="26">
        <f t="shared" si="17"/>
        <v>12</v>
      </c>
      <c r="M69" s="1">
        <v>12.0</v>
      </c>
      <c r="N69" s="8">
        <f>Tabela_3[Preço Vela]*M69</f>
        <v>480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2.5" customHeight="1">
      <c r="A70" s="2"/>
      <c r="B70" s="2"/>
      <c r="C70" s="2"/>
      <c r="D70" s="2"/>
      <c r="E70" s="2"/>
      <c r="F70" s="2"/>
      <c r="G70" s="2"/>
      <c r="H70" s="16" t="s">
        <v>30</v>
      </c>
      <c r="I70" s="16"/>
      <c r="J70" s="27">
        <f>SUM(J58:J69)</f>
        <v>9360</v>
      </c>
      <c r="K70" s="2"/>
      <c r="L70" s="16" t="s">
        <v>30</v>
      </c>
      <c r="M70" s="16"/>
      <c r="N70" s="27">
        <f>SUM(N58:N69)</f>
        <v>5760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qref="C40:C51">
      <formula1>"Não,Sim (+1)"</formula1>
    </dataValidation>
    <dataValidation type="list" allowBlank="1" sqref="C17:C28">
      <formula1>"Não,Sim (+50)"</formula1>
    </dataValidation>
    <dataValidation type="custom" allowBlank="1" showDropDown="1" sqref="A17:B28 E17:E28 G21:J33">
      <formula1>AND(ISNUMBER(A17),(NOT(OR(NOT(ISERROR(DATEVALUE(A17))), AND(ISNUMBER(A17), LEFT(CELL("format", A17))="D")))))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